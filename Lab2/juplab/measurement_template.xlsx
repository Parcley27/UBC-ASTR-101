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ora/Library/Mobile Documents/com~apple~CloudDocs/JUPITERLAB/"/>
    </mc:Choice>
  </mc:AlternateContent>
  <xr:revisionPtr revIDLastSave="0" documentId="13_ncr:1_{9DD9A8ED-F050-9741-9FB8-78093C0F4434}" xr6:coauthVersionLast="45" xr6:coauthVersionMax="45" xr10:uidLastSave="{00000000-0000-0000-0000-000000000000}"/>
  <bookViews>
    <workbookView xWindow="2240" yWindow="460" windowWidth="28800" windowHeight="16600" xr2:uid="{6BEC3B06-9DF6-7C44-B0FA-714E7FC887D7}"/>
  </bookViews>
  <sheets>
    <sheet name="Data" sheetId="1" r:id="rId1"/>
    <sheet name="Resul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F2" i="2" l="1"/>
  <c r="E2" i="2"/>
  <c r="F3" i="2"/>
  <c r="F4" i="2"/>
  <c r="F5" i="2"/>
  <c r="E3" i="2"/>
  <c r="E4" i="2"/>
  <c r="E5" i="2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2" i="1"/>
  <c r="C2" i="1" l="1"/>
</calcChain>
</file>

<file path=xl/sharedStrings.xml><?xml version="1.0" encoding="utf-8"?>
<sst xmlns="http://schemas.openxmlformats.org/spreadsheetml/2006/main" count="28" uniqueCount="28">
  <si>
    <t>JX</t>
  </si>
  <si>
    <t>JY</t>
  </si>
  <si>
    <t>Date</t>
  </si>
  <si>
    <t>Time</t>
  </si>
  <si>
    <t>MX1</t>
  </si>
  <si>
    <t>MY1</t>
  </si>
  <si>
    <t>D1</t>
  </si>
  <si>
    <t>MX2</t>
  </si>
  <si>
    <t>MY2</t>
  </si>
  <si>
    <t>D2</t>
  </si>
  <si>
    <t>MX3</t>
  </si>
  <si>
    <t>MY3</t>
  </si>
  <si>
    <t>D3</t>
  </si>
  <si>
    <t>MX4</t>
  </si>
  <si>
    <t>MY4</t>
  </si>
  <si>
    <t>D4</t>
  </si>
  <si>
    <t>FL</t>
  </si>
  <si>
    <t>uncertainty</t>
  </si>
  <si>
    <t>YYYYDDD.DDD</t>
  </si>
  <si>
    <t>Distance</t>
  </si>
  <si>
    <t>Semi-major axis (Rjup)</t>
  </si>
  <si>
    <t>Period (days)</t>
  </si>
  <si>
    <t>Log10 (SMA)</t>
  </si>
  <si>
    <t>Log10 (P)</t>
  </si>
  <si>
    <t>Moon 1</t>
  </si>
  <si>
    <t>Moon 3</t>
  </si>
  <si>
    <t>Moon 2</t>
  </si>
  <si>
    <t>Moon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</si>
</sst>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15" fontId="1" fillId="0" borderId="0" xfId="0" applyNumberFormat="1" applyFont="1"/>
    <xf numFmtId="19" fontId="0" fillId="0" borderId="0" xfId="0" applyNumberFormat="1" applyFont="1"/>
    <xf numFmtId="1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B353D-E10E-C940-AD74-2FD2B53022D7}">
  <dimension ref="A1:T17"/>
  <sheetViews>
    <sheetView tabSelected="1" workbookViewId="0">
      <selection activeCell="T19" sqref="T19"/>
    </sheetView>
  </sheetViews>
  <sheetFormatPr baseColWidth="10" defaultRowHeight="16" x14ac:dyDescent="0.2"/>
  <cols>
    <col min="1" max="1" width="16" customWidth="1"/>
    <col min="2" max="2" width="13.6640625" customWidth="1"/>
    <col min="3" max="3" width="21.5" customWidth="1"/>
  </cols>
  <sheetData>
    <row r="1" spans="1:20" x14ac:dyDescent="0.2">
      <c r="A1" t="s">
        <v>2</v>
      </c>
      <c r="B1" t="s">
        <v>3</v>
      </c>
      <c r="C1" t="s">
        <v>18</v>
      </c>
      <c r="D1" t="s">
        <v>0</v>
      </c>
      <c r="E1" t="s">
        <v>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19</v>
      </c>
    </row>
    <row r="2" spans="1:20" x14ac:dyDescent="0.2">
      <c r="A2" s="1">
        <v>43654</v>
      </c>
      <c r="B2" s="3">
        <v>0.98129629629629633</v>
      </c>
      <c r="C2" t="str">
        <f>YEAR(A2)&amp;TEXT(A2-DATE(YEAR(A2),1,0),"000")+(HOUR(B2)+MINUTE(B2)/60+SECOND(B2)/3600)/24</f>
        <v>2019189.981296296296</v>
      </c>
      <c r="H2">
        <f>SQRT((D2-F2)^2+(E2-G2)^2)*SIGN(F2-D2)</f>
        <v>0</v>
      </c>
      <c r="K2">
        <f>SQRT((D2-I2)^2+(E2-J2)^2)*SIGN(I2-D2)</f>
        <v>0</v>
      </c>
      <c r="N2">
        <f>SQRT((D2-L2)^2+(E2-M2)^2)*SIGN(L2-D2)</f>
        <v>0</v>
      </c>
      <c r="Q2">
        <f>SQRT((D2-O2)^2+(E2-P2)^2)*SIGN(O2-D2)</f>
        <v>0</v>
      </c>
      <c r="R2">
        <v>300</v>
      </c>
      <c r="T2">
        <v>4.3899999999999997</v>
      </c>
    </row>
    <row r="3" spans="1:20" x14ac:dyDescent="0.2">
      <c r="A3" s="1">
        <v>43657</v>
      </c>
      <c r="B3" s="4">
        <v>3.577546296296296E-2</v>
      </c>
      <c r="C3" t="str">
        <f t="shared" ref="C3:C17" si="0">YEAR(A3)&amp;TEXT(A3-DATE(YEAR(A3),1,0),"000")+(HOUR(B3)+MINUTE(B3)/60+SECOND(B3)/3600)/24</f>
        <v>2019192.035775462963</v>
      </c>
      <c r="H3">
        <f t="shared" ref="H3:H17" si="1">SQRT((D3-F3)^2+(E3-G3)^2)*SIGN(F3-D3)</f>
        <v>0</v>
      </c>
      <c r="K3">
        <f t="shared" ref="K3:K17" si="2">SQRT((D3-I3)^2+(E3-J3)^2)*SIGN(I3-D3)</f>
        <v>0</v>
      </c>
      <c r="N3">
        <f t="shared" ref="N3:N17" si="3">SQRT((D3-L3)^2+(E3-M3)^2)*SIGN(L3-D3)</f>
        <v>0</v>
      </c>
      <c r="Q3">
        <f t="shared" ref="Q3:Q17" si="4">SQRT((D3-O3)^2+(E3-P3)^2)*SIGN(O3-D3)</f>
        <v>0</v>
      </c>
      <c r="R3">
        <v>270</v>
      </c>
      <c r="T3">
        <v>4.4000000000000004</v>
      </c>
    </row>
    <row r="4" spans="1:20" x14ac:dyDescent="0.2">
      <c r="A4" s="2">
        <v>43657</v>
      </c>
      <c r="B4" s="4">
        <v>0.96780092592592604</v>
      </c>
      <c r="C4" t="str">
        <f t="shared" si="0"/>
        <v>2019192.967800925926</v>
      </c>
      <c r="H4">
        <f t="shared" si="1"/>
        <v>0</v>
      </c>
      <c r="K4">
        <f t="shared" si="2"/>
        <v>0</v>
      </c>
      <c r="N4">
        <f t="shared" si="3"/>
        <v>0</v>
      </c>
      <c r="Q4">
        <f t="shared" si="4"/>
        <v>0</v>
      </c>
      <c r="R4">
        <v>270</v>
      </c>
      <c r="T4">
        <v>4.41</v>
      </c>
    </row>
    <row r="5" spans="1:20" x14ac:dyDescent="0.2">
      <c r="A5" s="1">
        <v>43658</v>
      </c>
      <c r="B5" s="4">
        <v>0.98150462962962959</v>
      </c>
      <c r="C5" t="str">
        <f t="shared" si="0"/>
        <v>2019193.98150462963</v>
      </c>
      <c r="H5">
        <f t="shared" si="1"/>
        <v>0</v>
      </c>
      <c r="K5">
        <f t="shared" si="2"/>
        <v>0</v>
      </c>
      <c r="N5">
        <f t="shared" si="3"/>
        <v>0</v>
      </c>
      <c r="Q5">
        <f t="shared" si="4"/>
        <v>0</v>
      </c>
      <c r="R5">
        <v>300</v>
      </c>
      <c r="T5">
        <v>4.42</v>
      </c>
    </row>
    <row r="6" spans="1:20" x14ac:dyDescent="0.2">
      <c r="A6" s="1">
        <v>43659</v>
      </c>
      <c r="B6" s="4">
        <v>0.91489583333333335</v>
      </c>
      <c r="C6" t="str">
        <f t="shared" si="0"/>
        <v>2019194.914895833333</v>
      </c>
      <c r="H6">
        <f t="shared" si="1"/>
        <v>0</v>
      </c>
      <c r="K6">
        <f t="shared" si="2"/>
        <v>0</v>
      </c>
      <c r="N6">
        <f t="shared" si="3"/>
        <v>0</v>
      </c>
      <c r="Q6">
        <f t="shared" si="4"/>
        <v>0</v>
      </c>
      <c r="R6">
        <v>300</v>
      </c>
      <c r="T6">
        <v>4.43</v>
      </c>
    </row>
    <row r="7" spans="1:20" x14ac:dyDescent="0.2">
      <c r="A7" s="1">
        <v>43660</v>
      </c>
      <c r="B7" s="4">
        <v>0.96335648148148145</v>
      </c>
      <c r="C7" t="str">
        <f t="shared" si="0"/>
        <v>2019195.963356481481</v>
      </c>
      <c r="H7">
        <f t="shared" si="1"/>
        <v>0</v>
      </c>
      <c r="K7">
        <f t="shared" si="2"/>
        <v>0</v>
      </c>
      <c r="N7">
        <f t="shared" si="3"/>
        <v>0</v>
      </c>
      <c r="Q7">
        <f t="shared" si="4"/>
        <v>0</v>
      </c>
      <c r="R7">
        <v>300</v>
      </c>
      <c r="T7">
        <v>4.4400000000000004</v>
      </c>
    </row>
    <row r="8" spans="1:20" x14ac:dyDescent="0.2">
      <c r="A8" s="1">
        <v>43661</v>
      </c>
      <c r="B8" s="4">
        <v>0.95746527777777779</v>
      </c>
      <c r="C8" t="str">
        <f t="shared" si="0"/>
        <v>2019196.957465277778</v>
      </c>
      <c r="H8">
        <f t="shared" si="1"/>
        <v>0</v>
      </c>
      <c r="K8">
        <f t="shared" si="2"/>
        <v>0</v>
      </c>
      <c r="N8">
        <f t="shared" si="3"/>
        <v>0</v>
      </c>
      <c r="Q8">
        <f t="shared" si="4"/>
        <v>0</v>
      </c>
      <c r="R8">
        <v>300</v>
      </c>
      <c r="T8">
        <v>4.45</v>
      </c>
    </row>
    <row r="9" spans="1:20" x14ac:dyDescent="0.2">
      <c r="A9" s="1">
        <v>43663</v>
      </c>
      <c r="B9" s="4">
        <v>0.96391203703703709</v>
      </c>
      <c r="C9" t="str">
        <f t="shared" si="0"/>
        <v>2019198.963912037037</v>
      </c>
      <c r="H9">
        <f t="shared" si="1"/>
        <v>0</v>
      </c>
      <c r="K9">
        <f t="shared" si="2"/>
        <v>0</v>
      </c>
      <c r="N9">
        <f t="shared" si="3"/>
        <v>0</v>
      </c>
      <c r="Q9">
        <f t="shared" si="4"/>
        <v>0</v>
      </c>
      <c r="R9">
        <v>300</v>
      </c>
      <c r="T9">
        <v>4.47</v>
      </c>
    </row>
    <row r="10" spans="1:20" x14ac:dyDescent="0.2">
      <c r="A10" s="1">
        <v>43665</v>
      </c>
      <c r="B10" s="4">
        <v>0.97586805555555556</v>
      </c>
      <c r="C10" t="str">
        <f t="shared" si="0"/>
        <v>2019200.975868055556</v>
      </c>
      <c r="H10">
        <f t="shared" si="1"/>
        <v>0</v>
      </c>
      <c r="K10">
        <f t="shared" si="2"/>
        <v>0</v>
      </c>
      <c r="N10">
        <f t="shared" si="3"/>
        <v>0</v>
      </c>
      <c r="Q10">
        <f t="shared" si="4"/>
        <v>0</v>
      </c>
      <c r="R10">
        <v>300</v>
      </c>
      <c r="T10">
        <v>4.49</v>
      </c>
    </row>
    <row r="11" spans="1:20" x14ac:dyDescent="0.2">
      <c r="A11" s="1">
        <v>43666</v>
      </c>
      <c r="B11" s="4">
        <v>0.93601851851851858</v>
      </c>
      <c r="C11" t="str">
        <f t="shared" si="0"/>
        <v>2019201.936018518519</v>
      </c>
      <c r="H11">
        <f t="shared" si="1"/>
        <v>0</v>
      </c>
      <c r="K11">
        <f t="shared" si="2"/>
        <v>0</v>
      </c>
      <c r="N11">
        <f t="shared" si="3"/>
        <v>0</v>
      </c>
      <c r="Q11">
        <f t="shared" si="4"/>
        <v>0</v>
      </c>
      <c r="R11">
        <v>300</v>
      </c>
      <c r="T11">
        <v>4.5</v>
      </c>
    </row>
    <row r="12" spans="1:20" x14ac:dyDescent="0.2">
      <c r="A12" s="1">
        <v>43667</v>
      </c>
      <c r="B12" s="4">
        <v>0.94666666666666666</v>
      </c>
      <c r="C12" t="str">
        <f t="shared" si="0"/>
        <v>2019202.946666666667</v>
      </c>
      <c r="H12">
        <f t="shared" si="1"/>
        <v>0</v>
      </c>
      <c r="K12">
        <f t="shared" si="2"/>
        <v>0</v>
      </c>
      <c r="N12">
        <f t="shared" si="3"/>
        <v>0</v>
      </c>
      <c r="Q12">
        <f t="shared" si="4"/>
        <v>0</v>
      </c>
      <c r="R12">
        <v>300</v>
      </c>
      <c r="T12">
        <v>4.51</v>
      </c>
    </row>
    <row r="13" spans="1:20" x14ac:dyDescent="0.2">
      <c r="A13" s="1">
        <v>43668</v>
      </c>
      <c r="B13" s="4">
        <v>0.95040509259259265</v>
      </c>
      <c r="C13" t="str">
        <f t="shared" si="0"/>
        <v>2019203.950405092593</v>
      </c>
      <c r="H13">
        <f t="shared" si="1"/>
        <v>0</v>
      </c>
      <c r="K13">
        <f t="shared" si="2"/>
        <v>0</v>
      </c>
      <c r="N13">
        <f t="shared" si="3"/>
        <v>0</v>
      </c>
      <c r="Q13">
        <f t="shared" si="4"/>
        <v>0</v>
      </c>
      <c r="R13">
        <v>300</v>
      </c>
      <c r="T13">
        <v>4.5199999999999996</v>
      </c>
    </row>
    <row r="14" spans="1:20" x14ac:dyDescent="0.2">
      <c r="A14" s="1">
        <v>43670</v>
      </c>
      <c r="B14" s="4">
        <v>0.95145833333333341</v>
      </c>
      <c r="C14" t="str">
        <f t="shared" si="0"/>
        <v>2019205.951458333333</v>
      </c>
      <c r="H14">
        <f t="shared" si="1"/>
        <v>0</v>
      </c>
      <c r="K14">
        <f t="shared" si="2"/>
        <v>0</v>
      </c>
      <c r="N14">
        <f t="shared" si="3"/>
        <v>0</v>
      </c>
      <c r="Q14">
        <f t="shared" si="4"/>
        <v>0</v>
      </c>
      <c r="R14">
        <v>300</v>
      </c>
      <c r="T14">
        <v>4.54</v>
      </c>
    </row>
    <row r="15" spans="1:20" x14ac:dyDescent="0.2">
      <c r="A15" s="1">
        <v>43671</v>
      </c>
      <c r="B15" s="4">
        <v>0.95247685185185194</v>
      </c>
      <c r="C15" t="str">
        <f t="shared" si="0"/>
        <v>2019206.952476851852</v>
      </c>
      <c r="H15">
        <f t="shared" si="1"/>
        <v>0</v>
      </c>
      <c r="K15">
        <f t="shared" si="2"/>
        <v>0</v>
      </c>
      <c r="N15">
        <f t="shared" si="3"/>
        <v>0</v>
      </c>
      <c r="Q15">
        <f t="shared" si="4"/>
        <v>0</v>
      </c>
      <c r="R15">
        <v>300</v>
      </c>
      <c r="T15">
        <v>4.55</v>
      </c>
    </row>
    <row r="16" spans="1:20" x14ac:dyDescent="0.2">
      <c r="A16" s="1">
        <v>43673</v>
      </c>
      <c r="B16" s="3">
        <v>0.96114583333333325</v>
      </c>
      <c r="C16" t="str">
        <f t="shared" si="0"/>
        <v>2019208.961145833333</v>
      </c>
      <c r="H16">
        <f t="shared" si="1"/>
        <v>0</v>
      </c>
      <c r="K16">
        <f t="shared" si="2"/>
        <v>0</v>
      </c>
      <c r="N16">
        <f t="shared" si="3"/>
        <v>0</v>
      </c>
      <c r="Q16">
        <f t="shared" si="4"/>
        <v>0</v>
      </c>
      <c r="R16">
        <v>300</v>
      </c>
      <c r="T16">
        <v>4.57</v>
      </c>
    </row>
    <row r="17" spans="1:20" x14ac:dyDescent="0.2">
      <c r="A17" s="1">
        <v>43674</v>
      </c>
      <c r="B17" s="3">
        <v>0.9512962962962962</v>
      </c>
      <c r="C17" t="str">
        <f t="shared" si="0"/>
        <v>2019209.951296296296</v>
      </c>
      <c r="H17">
        <f t="shared" si="1"/>
        <v>0</v>
      </c>
      <c r="K17">
        <f t="shared" si="2"/>
        <v>0</v>
      </c>
      <c r="N17">
        <f t="shared" si="3"/>
        <v>0</v>
      </c>
      <c r="Q17">
        <f t="shared" si="4"/>
        <v>0</v>
      </c>
      <c r="R17">
        <v>300</v>
      </c>
      <c r="T17">
        <v>4.58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E17F2-9CC8-9543-9240-1D2D68FA6932}">
  <dimension ref="A1:F5"/>
  <sheetViews>
    <sheetView workbookViewId="0">
      <selection activeCell="F6" sqref="F6"/>
    </sheetView>
  </sheetViews>
  <sheetFormatPr baseColWidth="10" defaultRowHeight="16" x14ac:dyDescent="0.2"/>
  <cols>
    <col min="1" max="1" width="10.1640625" customWidth="1"/>
    <col min="2" max="2" width="21.5" customWidth="1"/>
    <col min="3" max="3" width="16.6640625" customWidth="1"/>
    <col min="5" max="5" width="20.5" customWidth="1"/>
    <col min="6" max="6" width="22.33203125" customWidth="1"/>
  </cols>
  <sheetData>
    <row r="1" spans="1:6" x14ac:dyDescent="0.2">
      <c r="B1" t="s">
        <v>20</v>
      </c>
      <c r="C1" t="s">
        <v>21</v>
      </c>
      <c r="E1" t="s">
        <v>22</v>
      </c>
      <c r="F1" t="s">
        <v>23</v>
      </c>
    </row>
    <row r="2" spans="1:6" x14ac:dyDescent="0.2">
      <c r="A2" t="s">
        <v>24</v>
      </c>
      <c r="E2" t="e">
        <f t="shared" ref="E2:F5" si="0">LOG10(B2)</f>
        <v>#NUM!</v>
      </c>
      <c r="F2" t="e">
        <f t="shared" si="0"/>
        <v>#NUM!</v>
      </c>
    </row>
    <row r="3" spans="1:6" x14ac:dyDescent="0.2">
      <c r="A3" t="s">
        <v>26</v>
      </c>
      <c r="E3" t="e">
        <f t="shared" si="0"/>
        <v>#NUM!</v>
      </c>
      <c r="F3" t="e">
        <f t="shared" si="0"/>
        <v>#NUM!</v>
      </c>
    </row>
    <row r="4" spans="1:6" x14ac:dyDescent="0.2">
      <c r="A4" t="s">
        <v>25</v>
      </c>
      <c r="E4" t="e">
        <f t="shared" si="0"/>
        <v>#NUM!</v>
      </c>
      <c r="F4" t="e">
        <f t="shared" si="0"/>
        <v>#NUM!</v>
      </c>
    </row>
    <row r="5" spans="1:6" x14ac:dyDescent="0.2">
      <c r="A5" t="s">
        <v>27</v>
      </c>
      <c r="E5" t="e">
        <f t="shared" si="0"/>
        <v>#NUM!</v>
      </c>
      <c r="F5" t="e">
        <f t="shared" si="0"/>
        <v>#NUM!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Boley</dc:creator>
  <cp:lastModifiedBy>Aaron Boley</cp:lastModifiedBy>
  <dcterms:created xsi:type="dcterms:W3CDTF">2019-07-26T04:45:36Z</dcterms:created>
  <dcterms:modified xsi:type="dcterms:W3CDTF">2019-09-21T22:24:35Z</dcterms:modified>
</cp:coreProperties>
</file>